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Workspace\APLabR_TaLEs\Lab1_D7Report\analysis\TaLEs-D7\"/>
    </mc:Choice>
  </mc:AlternateContent>
  <xr:revisionPtr revIDLastSave="0" documentId="13_ncr:1_{1CD1D018-1FDC-400A-9D1D-EB5C68C3E16A}" xr6:coauthVersionLast="47" xr6:coauthVersionMax="47" xr10:uidLastSave="{00000000-0000-0000-0000-000000000000}"/>
  <bookViews>
    <workbookView xWindow="-68" yWindow="-68" windowWidth="19335" windowHeight="1141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4" l="1"/>
  <c r="D2" i="4"/>
  <c r="E2" i="4"/>
  <c r="B2" i="4"/>
  <c r="E9" i="2"/>
  <c r="E10" i="2"/>
  <c r="E8" i="2"/>
  <c r="C9" i="2"/>
  <c r="C10" i="2"/>
  <c r="C8" i="2"/>
  <c r="B9" i="2"/>
  <c r="B10" i="2"/>
  <c r="B8" i="2"/>
  <c r="G4" i="3"/>
  <c r="G5" i="3"/>
  <c r="G3" i="3"/>
  <c r="E7" i="1"/>
  <c r="E6" i="1"/>
  <c r="C7" i="1"/>
  <c r="B7" i="1"/>
  <c r="C6" i="1"/>
  <c r="B6" i="1"/>
</calcChain>
</file>

<file path=xl/sharedStrings.xml><?xml version="1.0" encoding="utf-8"?>
<sst xmlns="http://schemas.openxmlformats.org/spreadsheetml/2006/main" count="43" uniqueCount="31">
  <si>
    <t>测量次数</t>
    <phoneticPr fontId="1" type="noConversion"/>
  </si>
  <si>
    <t>物体1宽度/mm</t>
    <phoneticPr fontId="1" type="noConversion"/>
  </si>
  <si>
    <t>物体2宽度/mm</t>
    <phoneticPr fontId="1" type="noConversion"/>
  </si>
  <si>
    <t>游标卡尺结果</t>
    <phoneticPr fontId="1" type="noConversion"/>
  </si>
  <si>
    <t>圆半径/mm</t>
    <phoneticPr fontId="1" type="noConversion"/>
  </si>
  <si>
    <t>两圆圆心间距/mm</t>
    <phoneticPr fontId="1" type="noConversion"/>
  </si>
  <si>
    <t>平行线间距/mm</t>
    <phoneticPr fontId="1" type="noConversion"/>
  </si>
  <si>
    <t>编号</t>
    <phoneticPr fontId="1" type="noConversion"/>
  </si>
  <si>
    <t>位置1</t>
    <phoneticPr fontId="1" type="noConversion"/>
  </si>
  <si>
    <t>位置2</t>
    <phoneticPr fontId="1" type="noConversion"/>
  </si>
  <si>
    <t>角度起点</t>
    <phoneticPr fontId="1" type="noConversion"/>
  </si>
  <si>
    <t>像素起点</t>
    <phoneticPr fontId="1" type="noConversion"/>
  </si>
  <si>
    <t>角度终点</t>
    <phoneticPr fontId="1" type="noConversion"/>
  </si>
  <si>
    <t>像素终点</t>
    <phoneticPr fontId="1" type="noConversion"/>
  </si>
  <si>
    <t>平均值</t>
    <phoneticPr fontId="1" type="noConversion"/>
  </si>
  <si>
    <t>标准差</t>
    <phoneticPr fontId="1" type="noConversion"/>
  </si>
  <si>
    <t>theta</t>
    <phoneticPr fontId="1" type="noConversion"/>
  </si>
  <si>
    <t>测试端子</t>
    <phoneticPr fontId="1" type="noConversion"/>
  </si>
  <si>
    <t>SH</t>
    <phoneticPr fontId="1" type="noConversion"/>
  </si>
  <si>
    <t>RS</t>
    <phoneticPr fontId="1" type="noConversion"/>
  </si>
  <si>
    <t>Φ1</t>
    <phoneticPr fontId="1" type="noConversion"/>
  </si>
  <si>
    <t>Φ2</t>
    <phoneticPr fontId="1" type="noConversion"/>
  </si>
  <si>
    <t>频率（kHz）</t>
    <phoneticPr fontId="1" type="noConversion"/>
  </si>
  <si>
    <t>周期（mus）</t>
    <phoneticPr fontId="1" type="noConversion"/>
  </si>
  <si>
    <t>SUBCK</t>
    <phoneticPr fontId="1" type="noConversion"/>
  </si>
  <si>
    <t>V1</t>
    <phoneticPr fontId="1" type="noConversion"/>
  </si>
  <si>
    <t>V2</t>
    <phoneticPr fontId="1" type="noConversion"/>
  </si>
  <si>
    <t>V3</t>
    <phoneticPr fontId="1" type="noConversion"/>
  </si>
  <si>
    <t>V4</t>
  </si>
  <si>
    <t>H1</t>
    <phoneticPr fontId="1" type="noConversion"/>
  </si>
  <si>
    <t>H2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</si>
</sst>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220" zoomScaleNormal="220" workbookViewId="0">
      <selection activeCell="H3" sqref="H3"/>
    </sheetView>
  </sheetViews>
  <sheetFormatPr defaultRowHeight="13.8" x14ac:dyDescent="0.25"/>
  <cols>
    <col min="1" max="1" width="15.109375" bestFit="1" customWidth="1"/>
    <col min="2" max="2" width="14" customWidth="1"/>
    <col min="3" max="3" width="9.109375" bestFit="1" customWidth="1"/>
  </cols>
  <sheetData>
    <row r="1" spans="1: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 t="s">
        <v>3</v>
      </c>
    </row>
    <row r="2" spans="1:8" x14ac:dyDescent="0.25">
      <c r="A2" t="s">
        <v>1</v>
      </c>
      <c r="B2" s="2">
        <v>11.9</v>
      </c>
      <c r="C2" s="2">
        <v>11.93</v>
      </c>
      <c r="D2" s="2">
        <v>11.86</v>
      </c>
      <c r="E2" s="2">
        <v>11.9</v>
      </c>
      <c r="F2" s="2">
        <v>11.86</v>
      </c>
      <c r="G2" s="2">
        <v>11.88</v>
      </c>
      <c r="H2" s="2">
        <v>11.94</v>
      </c>
    </row>
    <row r="3" spans="1:8" x14ac:dyDescent="0.25">
      <c r="A3" t="s">
        <v>2</v>
      </c>
      <c r="B3" s="2">
        <v>9.9700000000000006</v>
      </c>
      <c r="C3" s="2">
        <v>9.93</v>
      </c>
      <c r="D3" s="2">
        <v>10</v>
      </c>
      <c r="E3" s="2">
        <v>9.91</v>
      </c>
      <c r="F3" s="2">
        <v>9.9499999999999993</v>
      </c>
      <c r="G3" s="2">
        <v>9.9499999999999993</v>
      </c>
      <c r="H3" s="2">
        <v>9.98</v>
      </c>
    </row>
    <row r="5" spans="1:8" x14ac:dyDescent="0.25">
      <c r="B5" t="s">
        <v>14</v>
      </c>
      <c r="C5" t="s">
        <v>15</v>
      </c>
    </row>
    <row r="6" spans="1:8" x14ac:dyDescent="0.25">
      <c r="A6" t="s">
        <v>1</v>
      </c>
      <c r="B6" s="3">
        <f>AVERAGE(B2:G2)</f>
        <v>11.888333333333334</v>
      </c>
      <c r="C6">
        <f>_xlfn.STDEV.S(B2:G2)</f>
        <v>2.7141603981096541E-2</v>
      </c>
      <c r="E6">
        <f>C6*3</f>
        <v>8.1424811943289627E-2</v>
      </c>
    </row>
    <row r="7" spans="1:8" x14ac:dyDescent="0.25">
      <c r="A7" t="s">
        <v>2</v>
      </c>
      <c r="B7" s="3">
        <f>AVERAGE(B3:G3)</f>
        <v>9.951666666666668</v>
      </c>
      <c r="C7">
        <f>_xlfn.STDEV.S(B3:G3)</f>
        <v>3.1251666622224686E-2</v>
      </c>
      <c r="E7">
        <f>C7*3</f>
        <v>9.3754999866674057E-2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5845-2F56-49AA-8743-9AFF5EC6EBA5}">
  <dimension ref="A1:H10"/>
  <sheetViews>
    <sheetView zoomScale="280" zoomScaleNormal="280" workbookViewId="0">
      <selection activeCell="H9" sqref="H9"/>
    </sheetView>
  </sheetViews>
  <sheetFormatPr defaultColWidth="13.88671875" defaultRowHeight="13.8" x14ac:dyDescent="0.25"/>
  <cols>
    <col min="1" max="1" width="18.44140625" bestFit="1" customWidth="1"/>
    <col min="2" max="7" width="7" bestFit="1" customWidth="1"/>
  </cols>
  <sheetData>
    <row r="1" spans="1: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 t="s">
        <v>3</v>
      </c>
    </row>
    <row r="2" spans="1:8" x14ac:dyDescent="0.25">
      <c r="A2" t="s">
        <v>4</v>
      </c>
      <c r="B2" s="1">
        <v>2.7879999999999998</v>
      </c>
      <c r="C2" s="1">
        <v>2.786</v>
      </c>
      <c r="D2" s="1">
        <v>2.82</v>
      </c>
      <c r="E2" s="1">
        <v>2.827</v>
      </c>
      <c r="F2" s="1">
        <v>2.8050000000000002</v>
      </c>
      <c r="G2" s="1">
        <v>2.82</v>
      </c>
      <c r="H2" s="2">
        <v>2.8</v>
      </c>
    </row>
    <row r="3" spans="1:8" x14ac:dyDescent="0.25">
      <c r="A3" t="s">
        <v>5</v>
      </c>
      <c r="B3" s="1">
        <v>18.167000000000002</v>
      </c>
      <c r="C3" s="1">
        <v>18.161000000000001</v>
      </c>
      <c r="D3" s="1">
        <v>18.161000000000001</v>
      </c>
      <c r="E3" s="1">
        <v>18.161000000000001</v>
      </c>
      <c r="F3" s="1">
        <v>18.055</v>
      </c>
      <c r="G3" s="1">
        <v>18.161000000000001</v>
      </c>
      <c r="H3" s="2">
        <v>18.04</v>
      </c>
    </row>
    <row r="4" spans="1:8" x14ac:dyDescent="0.25">
      <c r="A4" t="s">
        <v>6</v>
      </c>
      <c r="B4" s="1">
        <v>9.1560000000000006</v>
      </c>
      <c r="C4" s="1">
        <v>9.1660000000000004</v>
      </c>
      <c r="D4" s="1">
        <v>9.14</v>
      </c>
      <c r="E4" s="1">
        <v>9.141</v>
      </c>
      <c r="F4" s="1">
        <v>9.1560000000000006</v>
      </c>
      <c r="G4" s="1">
        <v>9.1519999999999992</v>
      </c>
      <c r="H4" s="2">
        <v>9</v>
      </c>
    </row>
    <row r="7" spans="1:8" x14ac:dyDescent="0.25">
      <c r="B7" t="s">
        <v>14</v>
      </c>
      <c r="C7" t="s">
        <v>15</v>
      </c>
    </row>
    <row r="8" spans="1:8" x14ac:dyDescent="0.25">
      <c r="A8" t="s">
        <v>4</v>
      </c>
      <c r="B8" s="1">
        <f>AVERAGE(B2:G2)</f>
        <v>2.8076666666666665</v>
      </c>
      <c r="C8">
        <f>_xlfn.STDEV.S(B2:G2)</f>
        <v>1.7557524502806933E-2</v>
      </c>
      <c r="E8">
        <f>3*C8</f>
        <v>5.2672573508420799E-2</v>
      </c>
    </row>
    <row r="9" spans="1:8" x14ac:dyDescent="0.25">
      <c r="A9" t="s">
        <v>5</v>
      </c>
      <c r="B9" s="1">
        <f t="shared" ref="B9:B10" si="0">AVERAGE(B3:G3)</f>
        <v>18.144333333333336</v>
      </c>
      <c r="C9">
        <f t="shared" ref="C9:C10" si="1">_xlfn.STDEV.S(B3:G3)</f>
        <v>4.3829974522770689E-2</v>
      </c>
      <c r="E9">
        <f t="shared" ref="E9:E10" si="2">3*C9</f>
        <v>0.13148992356831207</v>
      </c>
    </row>
    <row r="10" spans="1:8" x14ac:dyDescent="0.25">
      <c r="A10" t="s">
        <v>6</v>
      </c>
      <c r="B10" s="1">
        <f t="shared" si="0"/>
        <v>9.1518333333333342</v>
      </c>
      <c r="C10" s="1">
        <f t="shared" si="1"/>
        <v>9.9280746706835298E-3</v>
      </c>
      <c r="E10" s="1">
        <f t="shared" si="2"/>
        <v>2.9784224012050588E-2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8B8-3AEF-439B-A3ED-AC255C1EE1E3}">
  <dimension ref="A1:G5"/>
  <sheetViews>
    <sheetView zoomScale="220" zoomScaleNormal="220" workbookViewId="0">
      <selection activeCell="G3" sqref="G3"/>
    </sheetView>
  </sheetViews>
  <sheetFormatPr defaultRowHeight="13.8" x14ac:dyDescent="0.25"/>
  <cols>
    <col min="1" max="1" width="5.5546875" bestFit="1" customWidth="1"/>
    <col min="2" max="5" width="9.5546875" bestFit="1" customWidth="1"/>
  </cols>
  <sheetData>
    <row r="1" spans="1:7" x14ac:dyDescent="0.25">
      <c r="A1" s="5" t="s">
        <v>7</v>
      </c>
      <c r="B1" s="4" t="s">
        <v>8</v>
      </c>
      <c r="C1" s="4"/>
      <c r="D1" s="4" t="s">
        <v>9</v>
      </c>
      <c r="E1" s="4"/>
    </row>
    <row r="2" spans="1:7" x14ac:dyDescent="0.25">
      <c r="A2" s="5"/>
      <c r="B2" t="s">
        <v>10</v>
      </c>
      <c r="C2" t="s">
        <v>11</v>
      </c>
      <c r="D2" t="s">
        <v>12</v>
      </c>
      <c r="E2" t="s">
        <v>13</v>
      </c>
      <c r="G2" t="s">
        <v>16</v>
      </c>
    </row>
    <row r="3" spans="1:7" x14ac:dyDescent="0.25">
      <c r="A3">
        <v>1</v>
      </c>
      <c r="B3">
        <v>212</v>
      </c>
      <c r="C3">
        <v>290.60000000000002</v>
      </c>
      <c r="D3">
        <v>210</v>
      </c>
      <c r="E3">
        <v>1415.9</v>
      </c>
      <c r="G3">
        <f>(E3-C3)*0.0014*180/(24*3.1415)</f>
        <v>3.7611491325799786</v>
      </c>
    </row>
    <row r="4" spans="1:7" x14ac:dyDescent="0.25">
      <c r="A4">
        <v>2</v>
      </c>
      <c r="B4">
        <v>212</v>
      </c>
      <c r="C4">
        <v>462.9</v>
      </c>
      <c r="D4">
        <v>208</v>
      </c>
      <c r="E4">
        <v>1997.5</v>
      </c>
      <c r="G4">
        <f t="shared" ref="G4:G5" si="0">(E4-C4)*0.0014*180/(24*3.1415)</f>
        <v>5.1291739614833673</v>
      </c>
    </row>
    <row r="5" spans="1:7" x14ac:dyDescent="0.25">
      <c r="A5">
        <v>3</v>
      </c>
      <c r="B5">
        <v>212</v>
      </c>
      <c r="C5">
        <v>91.4</v>
      </c>
      <c r="D5">
        <v>208</v>
      </c>
      <c r="E5">
        <v>1885.1</v>
      </c>
      <c r="G5">
        <f t="shared" si="0"/>
        <v>5.9951774629953833</v>
      </c>
    </row>
  </sheetData>
  <mergeCells count="3">
    <mergeCell ref="B1:C1"/>
    <mergeCell ref="D1:E1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CDD7-D15D-4653-A8CC-40CF69B1BF02}">
  <dimension ref="A1:E3"/>
  <sheetViews>
    <sheetView zoomScale="235" zoomScaleNormal="235" workbookViewId="0">
      <selection sqref="A1:E3"/>
    </sheetView>
  </sheetViews>
  <sheetFormatPr defaultRowHeight="13.8" x14ac:dyDescent="0.25"/>
  <cols>
    <col min="1" max="1" width="12.88671875" bestFit="1" customWidth="1"/>
    <col min="2" max="5" width="13.10937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 t="s">
        <v>23</v>
      </c>
      <c r="B2" s="2">
        <f>1000/B3</f>
        <v>6896.5517241379312</v>
      </c>
      <c r="C2" s="2">
        <f t="shared" ref="C2:E2" si="0">1000/C3</f>
        <v>1.3908205841446453</v>
      </c>
      <c r="D2" s="2">
        <f t="shared" si="0"/>
        <v>2.7777777777777777</v>
      </c>
      <c r="E2" s="2">
        <f t="shared" si="0"/>
        <v>2.7777777777777777</v>
      </c>
    </row>
    <row r="3" spans="1:5" x14ac:dyDescent="0.25">
      <c r="A3" t="s">
        <v>22</v>
      </c>
      <c r="B3">
        <v>0.14499999999999999</v>
      </c>
      <c r="C3">
        <v>719</v>
      </c>
      <c r="D3">
        <v>360</v>
      </c>
      <c r="E3">
        <v>360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9A58-4E89-4EF2-A40C-1F5559A8A3F3}">
  <dimension ref="A1:H3"/>
  <sheetViews>
    <sheetView tabSelected="1" zoomScale="170" zoomScaleNormal="170" workbookViewId="0">
      <selection activeCell="E4" sqref="E4"/>
    </sheetView>
  </sheetViews>
  <sheetFormatPr defaultRowHeight="13.8" x14ac:dyDescent="0.25"/>
  <sheetData>
    <row r="1" spans="1:8" x14ac:dyDescent="0.25">
      <c r="A1" t="s">
        <v>17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25">
      <c r="A2" t="s">
        <v>23</v>
      </c>
      <c r="B2" s="2"/>
      <c r="C2" s="2"/>
      <c r="D2" s="2"/>
      <c r="E2" s="2"/>
    </row>
    <row r="3" spans="1:8" x14ac:dyDescent="0.25">
      <c r="A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戴鹏辉</dc:creator>
  <cp:lastModifiedBy>鹏辉 戴</cp:lastModifiedBy>
  <dcterms:created xsi:type="dcterms:W3CDTF">2015-06-05T18:19:34Z</dcterms:created>
  <dcterms:modified xsi:type="dcterms:W3CDTF">2024-12-04T06:47:19Z</dcterms:modified>
</cp:coreProperties>
</file>